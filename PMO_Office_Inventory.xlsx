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66cf7ed85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e16da1d16c34267"/>
    <x:sheet xmlns:r="http://schemas.openxmlformats.org/officeDocument/2006/relationships" name="README" sheetId="2" r:id="R87ccf7518ab8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25eb1065e40ac" /><Relationship Type="http://schemas.openxmlformats.org/officeDocument/2006/relationships/theme" Target="/xl/theme/theme1.xml" Id="Rfcbc7e3964d3408a" /><Relationship Type="http://schemas.openxmlformats.org/officeDocument/2006/relationships/sharedStrings" Target="/xl/sharedStrings.xml" Id="Rf51f87f7f53b47b9" /><Relationship Type="http://schemas.openxmlformats.org/officeDocument/2006/relationships/worksheet" Target="/xl/worksheets/sheet1.xml" Id="R3e16da1d16c34267" /><Relationship Type="http://schemas.openxmlformats.org/officeDocument/2006/relationships/worksheet" Target="/xl/worksheets/sheet2.xml" Id="R87ccf7518ab84d20" /></Relationships>
</file>

<file path=xl/tables/table1.xml><?xml version="1.0" encoding="utf-8"?>
<x:table xmlns:x="http://schemas.openxmlformats.org/spreadsheetml/2006/main" id="1" name="InventoryTable" displayName="InventoryTable" ref="A4:J16" headerRowCount="1" totalsRowCount="0" totalsRowShown="0">
  <x:tableColumns count="10">
    <x:tableColumn id="1" name="Item ID"/>
    <x:tableColumn id="2" name="Item Name"/>
    <x:tableColumn id="3" name="Category"/>
    <x:tableColumn id="4" name="Location"/>
    <x:tableColumn id="5" name="Quantity"/>
    <x:tableColumn id="6" name="Unit Cost (INR)"/>
    <x:tableColumn id="7" name="Stock Value (INR)"/>
    <x:tableColumn id="8" name="Reorder Level"/>
    <x:tableColumn id="9" name="Status"/>
    <x:tableColumn id="10" name="Last 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9c2104cd044d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6" hidden="0" customWidth="1"/>
    <x:col min="5" max="5" width="10" hidden="0" customWidth="1"/>
    <x:col min="6" max="6" width="17" hidden="0" customWidth="1"/>
    <x:col min="7" max="7" width="19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PMO-Office - Project Inventory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Initial inventory workbook for DevOps Lab Sheet 1 - M3 (Git / GitHub)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Item ID</x:v>
      </x:c>
      <x:c r="B4" s="20" t="str">
        <x:v>Item Name</x:v>
      </x:c>
      <x:c r="C4" s="20" t="str">
        <x:v>Category</x:v>
      </x:c>
      <x:c r="D4" s="20" t="str">
        <x:v>Location</x:v>
      </x:c>
      <x:c r="E4" s="20" t="str">
        <x:v>Quantity</x:v>
      </x:c>
      <x:c r="F4" s="20" t="str">
        <x:v>Unit Cost (INR)</x:v>
      </x:c>
      <x:c r="G4" s="20" t="str">
        <x:v>Stock Value (INR)</x:v>
      </x:c>
      <x:c r="H4" s="20" t="str">
        <x:v>Reorder Level</x:v>
      </x:c>
      <x:c r="I4" s="20" t="str">
        <x:v>Status</x:v>
      </x:c>
      <x:c r="J4" s="20" t="str">
        <x:v>Last Updated</x:v>
      </x:c>
    </x:row>
    <x:row r="5">
      <x:c r="A5" s="26" t="str">
        <x:v>INV-001</x:v>
      </x:c>
      <x:c r="B5" s="26" t="str">
        <x:v>Laptop</x:v>
      </x:c>
      <x:c r="C5" s="26" t="str">
        <x:v>IT Equipment</x:v>
      </x:c>
      <x:c r="D5" s="26" t="str">
        <x:v>Bengaluru</x:v>
      </x:c>
      <x:c r="E5" s="30" t="n">
        <x:v>12</x:v>
      </x:c>
      <x:c r="F5" s="28" t="n">
        <x:v>65000</x:v>
      </x:c>
      <x:c r="G5" s="28" t="n">
        <x:f>E5*F5</x:f>
        <x:v>780000</x:v>
      </x:c>
      <x:c r="H5" s="30" t="n">
        <x:v>3</x:v>
      </x:c>
      <x:c r="I5" s="26" t="str">
        <x:f>IF(E5&lt;=H5,"Reorder","In Stock")</x:f>
        <x:v>In Stock</x:v>
      </x:c>
      <x:c r="J5" s="32" t="n">
        <x:v>46266</x:v>
      </x:c>
    </x:row>
    <x:row r="6">
      <x:c r="A6" s="26" t="str">
        <x:v>INV-002</x:v>
      </x:c>
      <x:c r="B6" s="26" t="str">
        <x:v>Monitor</x:v>
      </x:c>
      <x:c r="C6" s="26" t="str">
        <x:v>IT Equipment</x:v>
      </x:c>
      <x:c r="D6" s="26" t="str">
        <x:v>Bengaluru</x:v>
      </x:c>
      <x:c r="E6" s="30" t="n">
        <x:v>18</x:v>
      </x:c>
      <x:c r="F6" s="28" t="n">
        <x:v>18000</x:v>
      </x:c>
      <x:c r="G6" s="28" t="n">
        <x:f>E6*F6</x:f>
        <x:v>324000</x:v>
      </x:c>
      <x:c r="H6" s="30" t="n">
        <x:v>5</x:v>
      </x:c>
      <x:c r="I6" s="26" t="str">
        <x:f>IF(E6&lt;=H6,"Reorder","In Stock")</x:f>
        <x:v>In Stock</x:v>
      </x:c>
      <x:c r="J6" s="32" t="n">
        <x:v>46267</x:v>
      </x:c>
    </x:row>
    <x:row r="7">
      <x:c r="A7" s="26" t="str">
        <x:v>INV-003</x:v>
      </x:c>
      <x:c r="B7" s="26" t="str">
        <x:v>Keyboard</x:v>
      </x:c>
      <x:c r="C7" s="26" t="str">
        <x:v>Accessories</x:v>
      </x:c>
      <x:c r="D7" s="26" t="str">
        <x:v>Hyderabad</x:v>
      </x:c>
      <x:c r="E7" s="30" t="n">
        <x:v>35</x:v>
      </x:c>
      <x:c r="F7" s="28" t="n">
        <x:v>1400</x:v>
      </x:c>
      <x:c r="G7" s="28" t="n">
        <x:f>E7*F7</x:f>
        <x:v>49000</x:v>
      </x:c>
      <x:c r="H7" s="30" t="n">
        <x:v>10</x:v>
      </x:c>
      <x:c r="I7" s="26" t="str">
        <x:f>IF(E7&lt;=H7,"Reorder","In Stock")</x:f>
        <x:v>In Stock</x:v>
      </x:c>
      <x:c r="J7" s="32" t="n">
        <x:v>46268</x:v>
      </x:c>
    </x:row>
    <x:row r="8">
      <x:c r="A8" s="26" t="str">
        <x:v>INV-004</x:v>
      </x:c>
      <x:c r="B8" s="26" t="str">
        <x:v>Mouse</x:v>
      </x:c>
      <x:c r="C8" s="26" t="str">
        <x:v>Accessories</x:v>
      </x:c>
      <x:c r="D8" s="26" t="str">
        <x:v>Pune</x:v>
      </x:c>
      <x:c r="E8" s="30" t="n">
        <x:v>42</x:v>
      </x:c>
      <x:c r="F8" s="28" t="n">
        <x:v>900</x:v>
      </x:c>
      <x:c r="G8" s="28" t="n">
        <x:f>E8*F8</x:f>
        <x:v>37800</x:v>
      </x:c>
      <x:c r="H8" s="30" t="n">
        <x:v>12</x:v>
      </x:c>
      <x:c r="I8" s="26" t="str">
        <x:f>IF(E8&lt;=H8,"Reorder","In Stock")</x:f>
        <x:v>In Stock</x:v>
      </x:c>
      <x:c r="J8" s="32" t="n">
        <x:v>46268</x:v>
      </x:c>
    </x:row>
    <x:row r="9">
      <x:c r="A9" s="26" t="str">
        <x:v>INV-005</x:v>
      </x:c>
      <x:c r="B9" s="26" t="str">
        <x:v>Office Chair</x:v>
      </x:c>
      <x:c r="C9" s="26" t="str">
        <x:v>Furniture</x:v>
      </x:c>
      <x:c r="D9" s="26" t="str">
        <x:v>Chennai</x:v>
      </x:c>
      <x:c r="E9" s="30" t="n">
        <x:v>14</x:v>
      </x:c>
      <x:c r="F9" s="28" t="n">
        <x:v>8500</x:v>
      </x:c>
      <x:c r="G9" s="28" t="n">
        <x:f>E9*F9</x:f>
        <x:v>119000</x:v>
      </x:c>
      <x:c r="H9" s="30" t="n">
        <x:v>4</x:v>
      </x:c>
      <x:c r="I9" s="26" t="str">
        <x:f>IF(E9&lt;=H9,"Reorder","In Stock")</x:f>
        <x:v>In Stock</x:v>
      </x:c>
      <x:c r="J9" s="32" t="n">
        <x:v>46269</x:v>
      </x:c>
    </x:row>
    <x:row r="10">
      <x:c r="A10" s="26" t="str">
        <x:v>INV-006</x:v>
      </x:c>
      <x:c r="B10" s="26" t="str">
        <x:v>USB-C Dock</x:v>
      </x:c>
      <x:c r="C10" s="26" t="str">
        <x:v>Accessories</x:v>
      </x:c>
      <x:c r="D10" s="26" t="str">
        <x:v>Mumbai</x:v>
      </x:c>
      <x:c r="E10" s="30" t="n">
        <x:v>9</x:v>
      </x:c>
      <x:c r="F10" s="28" t="n">
        <x:v>7200</x:v>
      </x:c>
      <x:c r="G10" s="28" t="n">
        <x:f>E10*F10</x:f>
        <x:v>64800</x:v>
      </x:c>
      <x:c r="H10" s="30" t="n">
        <x:v>4</x:v>
      </x:c>
      <x:c r="I10" s="26" t="str">
        <x:f>IF(E10&lt;=H10,"Reorder","In Stock")</x:f>
        <x:v>In Stock</x:v>
      </x:c>
      <x:c r="J10" s="32" t="n">
        <x:v>46270</x:v>
      </x:c>
    </x:row>
    <x:row r="11">
      <x:c r="A11" s="26" t="str">
        <x:v>INV-007</x:v>
      </x:c>
      <x:c r="B11" s="26" t="str">
        <x:v>Headset</x:v>
      </x:c>
      <x:c r="C11" s="26" t="str">
        <x:v>Accessories</x:v>
      </x:c>
      <x:c r="D11" s="26" t="str">
        <x:v>Delhi</x:v>
      </x:c>
      <x:c r="E11" s="30" t="n">
        <x:v>22</x:v>
      </x:c>
      <x:c r="F11" s="28" t="n">
        <x:v>3200</x:v>
      </x:c>
      <x:c r="G11" s="28" t="n">
        <x:f>E11*F11</x:f>
        <x:v>70400</x:v>
      </x:c>
      <x:c r="H11" s="30" t="n">
        <x:v>6</x:v>
      </x:c>
      <x:c r="I11" s="26" t="str">
        <x:f>IF(E11&lt;=H11,"Reorder","In Stock")</x:f>
        <x:v>In Stock</x:v>
      </x:c>
      <x:c r="J11" s="32" t="n">
        <x:v>46270</x:v>
      </x:c>
    </x:row>
    <x:row r="12">
      <x:c r="A12" s="26" t="str">
        <x:v>INV-008</x:v>
      </x:c>
      <x:c r="B12" s="26" t="str">
        <x:v>Printer</x:v>
      </x:c>
      <x:c r="C12" s="26" t="str">
        <x:v>Office Equipment</x:v>
      </x:c>
      <x:c r="D12" s="26" t="str">
        <x:v>Kolkata</x:v>
      </x:c>
      <x:c r="E12" s="30" t="n">
        <x:v>6</x:v>
      </x:c>
      <x:c r="F12" s="28" t="n">
        <x:v>19500</x:v>
      </x:c>
      <x:c r="G12" s="28" t="n">
        <x:f>E12*F12</x:f>
        <x:v>117000</x:v>
      </x:c>
      <x:c r="H12" s="30" t="n">
        <x:v>2</x:v>
      </x:c>
      <x:c r="I12" s="26" t="str">
        <x:f>IF(E12&lt;=H12,"Reorder","In Stock")</x:f>
        <x:v>In Stock</x:v>
      </x:c>
      <x:c r="J12" s="32" t="n">
        <x:v>46271</x:v>
      </x:c>
    </x:row>
    <x:row r="13">
      <x:c r="A13" s="26" t="str">
        <x:v>INV-009</x:v>
      </x:c>
      <x:c r="B13" s="26" t="str">
        <x:v>Network Switch</x:v>
      </x:c>
      <x:c r="C13" s="26" t="str">
        <x:v>Networking</x:v>
      </x:c>
      <x:c r="D13" s="26" t="str">
        <x:v>Bengaluru</x:v>
      </x:c>
      <x:c r="E13" s="30" t="n">
        <x:v>5</x:v>
      </x:c>
      <x:c r="F13" s="28" t="n">
        <x:v>12500</x:v>
      </x:c>
      <x:c r="G13" s="28" t="n">
        <x:f>E13*F13</x:f>
        <x:v>62500</x:v>
      </x:c>
      <x:c r="H13" s="30" t="n">
        <x:v>2</x:v>
      </x:c>
      <x:c r="I13" s="26" t="str">
        <x:f>IF(E13&lt;=H13,"Reorder","In Stock")</x:f>
        <x:v>In Stock</x:v>
      </x:c>
      <x:c r="J13" s="32" t="n">
        <x:v>46271</x:v>
      </x:c>
    </x:row>
    <x:row r="14">
      <x:c r="A14" s="26" t="str">
        <x:v>INV-010</x:v>
      </x:c>
      <x:c r="B14" s="26" t="str">
        <x:v>External SSD</x:v>
      </x:c>
      <x:c r="C14" s="26" t="str">
        <x:v>Storage</x:v>
      </x:c>
      <x:c r="D14" s="26" t="str">
        <x:v>Hyderabad</x:v>
      </x:c>
      <x:c r="E14" s="30" t="n">
        <x:v>11</x:v>
      </x:c>
      <x:c r="F14" s="28" t="n">
        <x:v>9800</x:v>
      </x:c>
      <x:c r="G14" s="28" t="n">
        <x:f>E14*F14</x:f>
        <x:v>107800</x:v>
      </x:c>
      <x:c r="H14" s="30" t="n">
        <x:v>3</x:v>
      </x:c>
      <x:c r="I14" s="26" t="str">
        <x:f>IF(E14&lt;=H14,"Reorder","In Stock")</x:f>
        <x:v>In Stock</x:v>
      </x:c>
      <x:c r="J14" s="32" t="n">
        <x:v>46272</x:v>
      </x:c>
    </x:row>
    <x:row r="15">
      <x:c r="A15" s="26" t="str">
        <x:v>INV-011</x:v>
      </x:c>
      <x:c r="B15" s="26" t="str">
        <x:v>Power Strip</x:v>
      </x:c>
      <x:c r="C15" s="26" t="str">
        <x:v>Electrical</x:v>
      </x:c>
      <x:c r="D15" s="26" t="str">
        <x:v>Pune</x:v>
      </x:c>
      <x:c r="E15" s="30" t="n">
        <x:v>27</x:v>
      </x:c>
      <x:c r="F15" s="28" t="n">
        <x:v>1100</x:v>
      </x:c>
      <x:c r="G15" s="28" t="n">
        <x:f>E15*F15</x:f>
        <x:v>29700</x:v>
      </x:c>
      <x:c r="H15" s="30" t="n">
        <x:v>8</x:v>
      </x:c>
      <x:c r="I15" s="26" t="str">
        <x:f>IF(E15&lt;=H15,"Reorder","In Stock")</x:f>
        <x:v>In Stock</x:v>
      </x:c>
      <x:c r="J15" s="32" t="n">
        <x:v>46272</x:v>
      </x:c>
    </x:row>
    <x:row r="16">
      <x:c r="A16" s="26" t="str">
        <x:v>INV-012</x:v>
      </x:c>
      <x:c r="B16" s="26" t="str">
        <x:v>Webcam</x:v>
      </x:c>
      <x:c r="C16" s="26" t="str">
        <x:v>Accessories</x:v>
      </x:c>
      <x:c r="D16" s="26" t="str">
        <x:v>Chennai</x:v>
      </x:c>
      <x:c r="E16" s="30" t="n">
        <x:v>7</x:v>
      </x:c>
      <x:c r="F16" s="28" t="n">
        <x:v>4500</x:v>
      </x:c>
      <x:c r="G16" s="28" t="n">
        <x:f>E16*F16</x:f>
        <x:v>31500</x:v>
      </x:c>
      <x:c r="H16" s="30" t="n">
        <x:v>5</x:v>
      </x:c>
      <x:c r="I16" s="26" t="str">
        <x:f>IF(E16&lt;=H16,"Reorder","In Stock")</x:f>
        <x:v>In Stock</x:v>
      </x:c>
      <x:c r="J16" s="32" t="n">
        <x:v>46273</x:v>
      </x:c>
    </x:row>
    <x:row r="19">
      <x:c r="A19" s="35" t="str">
        <x:v>Inventory Summary</x:v>
      </x:c>
      <x:c r="B19" s="35"/>
      <x:c r="C19" s="35"/>
      <x:c r="D19" s="35"/>
    </x:row>
    <x:row r="20">
      <x:c r="A20" s="38" t="str">
        <x:v>Metric</x:v>
      </x:c>
      <x:c r="B20" s="38" t="str">
        <x:v>Value</x:v>
      </x:c>
    </x:row>
    <x:row r="21">
      <x:c r="A21" s="40" t="str">
        <x:v>Total Items</x:v>
      </x:c>
      <x:c r="B21" s="40" t="n">
        <x:f>COUNTA(A5:A16)</x:f>
        <x:v>12</x:v>
      </x:c>
    </x:row>
    <x:row r="22">
      <x:c r="A22" s="40" t="str">
        <x:v>Total Quantity</x:v>
      </x:c>
      <x:c r="B22" s="40" t="n">
        <x:f>SUM(E5:E16)</x:f>
        <x:v>208</x:v>
      </x:c>
    </x:row>
    <x:row r="23">
      <x:c r="A23" s="40" t="str">
        <x:v>Total Stock Value (INR)</x:v>
      </x:c>
      <x:c r="B23" s="41" t="n">
        <x:f>SUM(G5:G16)</x:f>
        <x:v>1793500</x:v>
      </x:c>
    </x:row>
  </x:sheetData>
  <x:mergeCells>
    <x:mergeCell ref="A1:J1"/>
    <x:mergeCell ref="A2:J2"/>
    <x:mergeCell ref="A19:D19"/>
  </x:mergeCells>
  <x:conditionalFormatting sqref="I5:I16">
    <x:cfRule type="expression" dxfId="0" priority="1">
      <x:formula>I5="Reorder"</x:formula>
    </x:cfRule>
    <x:cfRule type="expression" dxfId="1" priority="2">
      <x:formula>I5="In Stock"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89c2104cd044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36" hidden="0" customWidth="1"/>
  </x:cols>
  <x:sheetData>
    <x:row r="1">
      <x:c r="A1" s="44" t="str">
        <x:v>PMO-Office Inventory Workbook - Notes</x:v>
      </x:c>
      <x:c r="B1" s="44"/>
      <x:c r="C1" s="44"/>
      <x:c r="D1" s="44"/>
    </x:row>
    <x:row r="3">
      <x:c r="A3" s="18" t="str">
        <x:v>Field</x:v>
      </x:c>
      <x:c r="B3" s="18" t="str">
        <x:v>Meaning</x:v>
      </x:c>
      <x:c r="C3" s="18" t="str">
        <x:v>Example</x:v>
      </x:c>
      <x:c r="D3" s="18" t="str">
        <x:v>Purpose in Lab</x:v>
      </x:c>
    </x:row>
    <x:row r="4">
      <x:c r="A4" s="47" t="str">
        <x:v>Item ID</x:v>
      </x:c>
      <x:c r="B4" s="47" t="str">
        <x:v>Unique inventory identifier</x:v>
      </x:c>
      <x:c r="C4" s="47" t="str">
        <x:v>INV-001</x:v>
      </x:c>
      <x:c r="D4" s="47" t="str">
        <x:v>Shows structured project data</x:v>
      </x:c>
    </x:row>
    <x:row r="5">
      <x:c r="A5" s="47" t="str">
        <x:v>Item Name</x:v>
      </x:c>
      <x:c r="B5" s="47" t="str">
        <x:v>Inventory item name</x:v>
      </x:c>
      <x:c r="C5" s="47" t="str">
        <x:v>Laptop</x:v>
      </x:c>
      <x:c r="D5" s="47" t="str">
        <x:v>Represents items maintained by PMO</x:v>
      </x:c>
    </x:row>
    <x:row r="6">
      <x:c r="A6" s="47" t="str">
        <x:v>Category</x:v>
      </x:c>
      <x:c r="B6" s="47" t="str">
        <x:v>Item classification</x:v>
      </x:c>
      <x:c r="C6" s="47" t="str">
        <x:v>IT Equipment</x:v>
      </x:c>
      <x:c r="D6" s="47" t="str">
        <x:v>Useful for grouping</x:v>
      </x:c>
    </x:row>
    <x:row r="7">
      <x:c r="A7" s="47" t="str">
        <x:v>Location</x:v>
      </x:c>
      <x:c r="B7" s="47" t="str">
        <x:v>Office/location holding the item</x:v>
      </x:c>
      <x:c r="C7" s="47" t="str">
        <x:v>Bengaluru</x:v>
      </x:c>
      <x:c r="D7" s="47" t="str">
        <x:v>Supports multi-location scenario</x:v>
      </x:c>
    </x:row>
    <x:row r="8">
      <x:c r="A8" s="47" t="str">
        <x:v>Quantity</x:v>
      </x:c>
      <x:c r="B8" s="47" t="str">
        <x:v>Current stock quantity</x:v>
      </x:c>
      <x:c r="C8" s="47" t="str">
        <x:v>12</x:v>
      </x:c>
      <x:c r="D8" s="47" t="str">
        <x:v>Used for inventory tracking</x:v>
      </x:c>
    </x:row>
    <x:row r="9">
      <x:c r="A9" s="47" t="str">
        <x:v>Unit Cost (INR)</x:v>
      </x:c>
      <x:c r="B9" s="47" t="str">
        <x:v>Cost of one item</x:v>
      </x:c>
      <x:c r="C9" s="47" t="str">
        <x:v>65000</x:v>
      </x:c>
      <x:c r="D9" s="47" t="str">
        <x:v>Used to calculate stock value</x:v>
      </x:c>
    </x:row>
    <x:row r="10">
      <x:c r="A10" s="47" t="str">
        <x:v>Stock Value (INR)</x:v>
      </x:c>
      <x:c r="B10" s="47" t="str">
        <x:v>Quantity multiplied by unit cost</x:v>
      </x:c>
      <x:c r="C10" s="47" t="str">
        <x:v>780000</x:v>
      </x:c>
      <x:c r="D10" s="47" t="str">
        <x:v>Formula-driven field</x:v>
      </x:c>
    </x:row>
    <x:row r="11">
      <x:c r="A11" s="47" t="str">
        <x:v>Reorder Level</x:v>
      </x:c>
      <x:c r="B11" s="47" t="str">
        <x:v>Threshold for replenishment</x:v>
      </x:c>
      <x:c r="C11" s="47" t="str">
        <x:v>3</x:v>
      </x:c>
      <x:c r="D11" s="47" t="str">
        <x:v>Used to determine status</x:v>
      </x:c>
    </x:row>
    <x:row r="12">
      <x:c r="A12" s="47" t="str">
        <x:v>Status</x:v>
      </x:c>
      <x:c r="B12" s="47" t="str">
        <x:v>Formula-driven availability status</x:v>
      </x:c>
      <x:c r="C12" s="47" t="str">
        <x:v>In Stock</x:v>
      </x:c>
      <x:c r="D12" s="47" t="str">
        <x:v>Demonstrates derived data</x:v>
      </x:c>
    </x:row>
    <x:row r="13">
      <x:c r="A13" s="47" t="str">
        <x:v>Last Updated</x:v>
      </x:c>
      <x:c r="B13" s="47" t="str">
        <x:v>Date of latest inventory update</x:v>
      </x:c>
      <x:c r="C13" s="47" t="str">
        <x:v>2026-09-01</x:v>
      </x:c>
      <x:c r="D13" s="47" t="str">
        <x:v>Shows appended/update scenario</x:v>
      </x:c>
    </x:row>
  </x:sheetData>
  <x:mergeCells>
    <x:mergeCell ref="A1:D1"/>
  </x:mergeCells>
  <x:pageMargins left="0.7" right="0.7" top="0.75" bottom="0.75" header="0.3" footer="0.3"/>
</x:worksheet>
</file>